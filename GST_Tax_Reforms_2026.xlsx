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ST_Reforms" sheetId="1" state="visible" r:id="rId3"/>
    <sheet name="Tax_Reform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<sst xmlns="http://schemas.openxmlformats.org/spreadsheetml/2006/main" count="63" uniqueCount="43">
  <si>
    <t xml:space="preserve">Year</t>
  </si>
  <si>
    <t xml:space="preserve">Category</t>
  </si>
  <si>
    <t xml:space="preserve">Old_GST_Rate(%)</t>
  </si>
  <si>
    <t xml:space="preserve">New_GST_Rate(%)</t>
  </si>
  <si>
    <t xml:space="preserve">Avg_Annual_Sales(INR Crores)</t>
  </si>
  <si>
    <t xml:space="preserve">Projected_Impact(%)</t>
  </si>
  <si>
    <t xml:space="preserve">Essential Goods</t>
  </si>
  <si>
    <t xml:space="preserve">Standard Goods</t>
  </si>
  <si>
    <t xml:space="preserve">Luxury Goods</t>
  </si>
  <si>
    <t xml:space="preserve">Sin Goods</t>
  </si>
  <si>
    <t xml:space="preserve">Health Insurance</t>
  </si>
  <si>
    <t xml:space="preserve">Agriculture Machinery</t>
  </si>
  <si>
    <t xml:space="preserve">Packaged Food</t>
  </si>
  <si>
    <t xml:space="preserve">Luxury Cars</t>
  </si>
  <si>
    <t xml:space="preserve">Income_Slab(INR Lakhs)</t>
  </si>
  <si>
    <t xml:space="preserve">Old_Tax_Rate(%)</t>
  </si>
  <si>
    <t xml:space="preserve">New_Tax_Rate(%)</t>
  </si>
  <si>
    <t xml:space="preserve">Population_in_Slab(millions)</t>
  </si>
  <si>
    <t xml:space="preserve">Avg_Tax_Paid(INR Crores)</t>
  </si>
  <si>
    <t xml:space="preserve">0-5</t>
  </si>
  <si>
    <t xml:space="preserve">5-10</t>
  </si>
  <si>
    <t xml:space="preserve">10-12</t>
  </si>
  <si>
    <t xml:space="preserve">12-15</t>
  </si>
  <si>
    <t xml:space="preserve">15-20</t>
  </si>
  <si>
    <t xml:space="preserve">20-30</t>
  </si>
  <si>
    <t xml:space="preserve">30-50</t>
  </si>
  <si>
    <t xml:space="preserve">50+</t>
  </si>
  <si>
    <t xml:space="preserve">GST &amp; Tax Reforms - Year-over-Year Summary</t>
  </si>
  <si>
    <t xml:space="preserve">GST Sheet</t>
  </si>
  <si>
    <t xml:space="preserve">Old GST (%)</t>
  </si>
  <si>
    <t xml:space="preserve">New GST (%)</t>
  </si>
  <si>
    <t xml:space="preserve">Sales (INR Cr)</t>
  </si>
  <si>
    <t xml:space="preserve">Impact (%)</t>
  </si>
  <si>
    <t xml:space="preserve">2025 categories</t>
  </si>
  <si>
    <t xml:space="preserve">2026 categories</t>
  </si>
  <si>
    <t xml:space="preserve">Tax Sheet</t>
  </si>
  <si>
    <t xml:space="preserve">Income Slab</t>
  </si>
  <si>
    <t xml:space="preserve">Old Tax (%)</t>
  </si>
  <si>
    <t xml:space="preserve">New Tax (%)</t>
  </si>
  <si>
    <t xml:space="preserve">Population (M)</t>
  </si>
  <si>
    <t xml:space="preserve">Avg Tax (INR Cr)</t>
  </si>
  <si>
    <t xml:space="preserve">2025 slabs</t>
  </si>
  <si>
    <t xml:space="preserve">2026 slabs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</si>
</sst>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2025</v>
      </c>
      <c r="B2" s="0" t="s">
        <v>6</v>
      </c>
      <c r="C2" s="0" t="n">
        <v>5</v>
      </c>
      <c r="D2" s="0" t="n">
        <v>5</v>
      </c>
      <c r="E2" s="0" t="n">
        <v>5000</v>
      </c>
      <c r="F2" s="0" t="n">
        <v>-2</v>
      </c>
    </row>
    <row r="3" customFormat="false" ht="15" hidden="false" customHeight="false" outlineLevel="0" collapsed="false">
      <c r="A3" s="0" t="n">
        <v>2025</v>
      </c>
      <c r="B3" s="0" t="s">
        <v>7</v>
      </c>
      <c r="C3" s="0" t="n">
        <v>18</v>
      </c>
      <c r="D3" s="0" t="n">
        <v>18</v>
      </c>
      <c r="E3" s="0" t="n">
        <v>8000</v>
      </c>
      <c r="F3" s="0" t="n">
        <v>0</v>
      </c>
    </row>
    <row r="4" customFormat="false" ht="15" hidden="false" customHeight="false" outlineLevel="0" collapsed="false">
      <c r="A4" s="0" t="n">
        <v>2025</v>
      </c>
      <c r="B4" s="0" t="s">
        <v>8</v>
      </c>
      <c r="C4" s="0" t="n">
        <v>28</v>
      </c>
      <c r="D4" s="0" t="n">
        <v>40</v>
      </c>
      <c r="E4" s="0" t="n">
        <v>2000</v>
      </c>
      <c r="F4" s="0" t="n">
        <v>10</v>
      </c>
    </row>
    <row r="5" customFormat="false" ht="15" hidden="false" customHeight="false" outlineLevel="0" collapsed="false">
      <c r="A5" s="0" t="n">
        <v>2025</v>
      </c>
      <c r="B5" s="0" t="s">
        <v>9</v>
      </c>
      <c r="C5" s="0" t="n">
        <v>28</v>
      </c>
      <c r="D5" s="0" t="n">
        <v>40</v>
      </c>
      <c r="E5" s="0" t="n">
        <v>1500</v>
      </c>
      <c r="F5" s="0" t="n">
        <v>15</v>
      </c>
    </row>
    <row r="6" customFormat="false" ht="15" hidden="false" customHeight="false" outlineLevel="0" collapsed="false">
      <c r="A6" s="0" t="n">
        <v>2025</v>
      </c>
      <c r="B6" s="0" t="s">
        <v>10</v>
      </c>
      <c r="C6" s="0" t="n">
        <v>18</v>
      </c>
      <c r="D6" s="0" t="n">
        <v>0</v>
      </c>
      <c r="E6" s="0" t="n">
        <v>3000</v>
      </c>
      <c r="F6" s="0" t="n">
        <v>-5</v>
      </c>
    </row>
    <row r="7" customFormat="false" ht="15" hidden="false" customHeight="false" outlineLevel="0" collapsed="false">
      <c r="A7" s="0" t="n">
        <v>2025</v>
      </c>
      <c r="B7" s="0" t="s">
        <v>11</v>
      </c>
      <c r="C7" s="0" t="n">
        <v>12</v>
      </c>
      <c r="D7" s="0" t="n">
        <v>5</v>
      </c>
      <c r="E7" s="0" t="n">
        <v>2500</v>
      </c>
      <c r="F7" s="0" t="n">
        <v>-4</v>
      </c>
    </row>
    <row r="8" customFormat="false" ht="15" hidden="false" customHeight="false" outlineLevel="0" collapsed="false">
      <c r="A8" s="0" t="n">
        <v>2025</v>
      </c>
      <c r="B8" s="0" t="s">
        <v>12</v>
      </c>
      <c r="C8" s="0" t="n">
        <v>12</v>
      </c>
      <c r="D8" s="0" t="n">
        <v>5</v>
      </c>
      <c r="E8" s="0" t="n">
        <v>4000</v>
      </c>
      <c r="F8" s="0" t="n">
        <v>-3</v>
      </c>
    </row>
    <row r="9" customFormat="false" ht="15" hidden="false" customHeight="false" outlineLevel="0" collapsed="false">
      <c r="A9" s="0" t="n">
        <v>2025</v>
      </c>
      <c r="B9" s="0" t="s">
        <v>13</v>
      </c>
      <c r="C9" s="0" t="n">
        <v>28</v>
      </c>
      <c r="D9" s="0" t="n">
        <v>40</v>
      </c>
      <c r="E9" s="0" t="n">
        <v>1200</v>
      </c>
      <c r="F9" s="0" t="n">
        <v>20</v>
      </c>
    </row>
    <row r="10" customFormat="false" ht="15" hidden="false" customHeight="false" outlineLevel="0" collapsed="false">
      <c r="A10" s="0" t="n">
        <v>2026</v>
      </c>
      <c r="B10" s="0" t="s">
        <v>6</v>
      </c>
      <c r="C10" s="0" t="n">
        <v>5</v>
      </c>
      <c r="D10" s="0" t="n">
        <v>5</v>
      </c>
      <c r="E10" s="0" t="n">
        <v>5300</v>
      </c>
      <c r="F10" s="0" t="n">
        <v>-1</v>
      </c>
    </row>
    <row r="11" customFormat="false" ht="15" hidden="false" customHeight="false" outlineLevel="0" collapsed="false">
      <c r="A11" s="0" t="n">
        <v>2026</v>
      </c>
      <c r="B11" s="0" t="s">
        <v>7</v>
      </c>
      <c r="C11" s="0" t="n">
        <v>18</v>
      </c>
      <c r="D11" s="0" t="n">
        <v>18</v>
      </c>
      <c r="E11" s="0" t="n">
        <v>8500</v>
      </c>
      <c r="F11" s="0" t="n">
        <v>1</v>
      </c>
    </row>
    <row r="12" customFormat="false" ht="15" hidden="false" customHeight="false" outlineLevel="0" collapsed="false">
      <c r="A12" s="0" t="n">
        <v>2026</v>
      </c>
      <c r="B12" s="0" t="s">
        <v>8</v>
      </c>
      <c r="C12" s="0" t="n">
        <v>40</v>
      </c>
      <c r="D12" s="0" t="n">
        <v>40</v>
      </c>
      <c r="E12" s="0" t="n">
        <v>2300</v>
      </c>
      <c r="F12" s="0" t="n">
        <v>8</v>
      </c>
    </row>
    <row r="13" customFormat="false" ht="15" hidden="false" customHeight="false" outlineLevel="0" collapsed="false">
      <c r="A13" s="0" t="n">
        <v>2026</v>
      </c>
      <c r="B13" s="0" t="s">
        <v>9</v>
      </c>
      <c r="C13" s="0" t="n">
        <v>40</v>
      </c>
      <c r="D13" s="0" t="n">
        <v>40</v>
      </c>
      <c r="E13" s="0" t="n">
        <v>1700</v>
      </c>
      <c r="F13" s="0" t="n">
        <v>12</v>
      </c>
    </row>
    <row r="14" customFormat="false" ht="15" hidden="false" customHeight="false" outlineLevel="0" collapsed="false">
      <c r="A14" s="0" t="n">
        <v>2026</v>
      </c>
      <c r="B14" s="0" t="s">
        <v>10</v>
      </c>
      <c r="C14" s="0" t="n">
        <v>0</v>
      </c>
      <c r="D14" s="0" t="n">
        <v>0</v>
      </c>
      <c r="E14" s="0" t="n">
        <v>3500</v>
      </c>
      <c r="F14" s="0" t="n">
        <v>-4</v>
      </c>
    </row>
    <row r="15" customFormat="false" ht="15" hidden="false" customHeight="false" outlineLevel="0" collapsed="false">
      <c r="A15" s="0" t="n">
        <v>2026</v>
      </c>
      <c r="B15" s="0" t="s">
        <v>11</v>
      </c>
      <c r="C15" s="0" t="n">
        <v>5</v>
      </c>
      <c r="D15" s="0" t="n">
        <v>5</v>
      </c>
      <c r="E15" s="0" t="n">
        <v>2800</v>
      </c>
      <c r="F15" s="0" t="n">
        <v>-3</v>
      </c>
    </row>
    <row r="16" customFormat="false" ht="15" hidden="false" customHeight="false" outlineLevel="0" collapsed="false">
      <c r="A16" s="0" t="n">
        <v>2026</v>
      </c>
      <c r="B16" s="0" t="s">
        <v>12</v>
      </c>
      <c r="C16" s="0" t="n">
        <v>5</v>
      </c>
      <c r="D16" s="0" t="n">
        <v>5</v>
      </c>
      <c r="E16" s="0" t="n">
        <v>4400</v>
      </c>
      <c r="F16" s="0" t="n">
        <v>-2</v>
      </c>
    </row>
    <row r="17" customFormat="false" ht="15" hidden="false" customHeight="false" outlineLevel="0" collapsed="false">
      <c r="A17" s="0" t="n">
        <v>2026</v>
      </c>
      <c r="B17" s="0" t="s">
        <v>13</v>
      </c>
      <c r="C17" s="0" t="n">
        <v>40</v>
      </c>
      <c r="D17" s="0" t="n">
        <v>40</v>
      </c>
      <c r="E17" s="0" t="n">
        <v>1400</v>
      </c>
      <c r="F17" s="0" t="n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5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27"/>
  </cols>
  <sheetData>
    <row r="1" customFormat="false" ht="15" hidden="false" customHeight="false" outlineLevel="0" collapsed="false">
      <c r="A1" s="0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customFormat="false" ht="15" hidden="false" customHeight="false" outlineLevel="0" collapsed="false">
      <c r="A2" s="0" t="n">
        <v>2025</v>
      </c>
      <c r="B2" s="0" t="s">
        <v>19</v>
      </c>
      <c r="C2" s="0" t="n">
        <v>0</v>
      </c>
      <c r="D2" s="0" t="n">
        <v>0</v>
      </c>
      <c r="E2" s="0" t="n">
        <v>80</v>
      </c>
      <c r="F2" s="0" t="n">
        <v>0</v>
      </c>
    </row>
    <row r="3" customFormat="false" ht="15" hidden="false" customHeight="false" outlineLevel="0" collapsed="false">
      <c r="A3" s="0" t="n">
        <v>2025</v>
      </c>
      <c r="B3" s="0" t="s">
        <v>20</v>
      </c>
      <c r="C3" s="0" t="n">
        <v>10</v>
      </c>
      <c r="D3" s="0" t="n">
        <v>5</v>
      </c>
      <c r="E3" s="0" t="n">
        <v>50</v>
      </c>
      <c r="F3" s="0" t="n">
        <v>3000</v>
      </c>
    </row>
    <row r="4" customFormat="false" ht="15" hidden="false" customHeight="false" outlineLevel="0" collapsed="false">
      <c r="A4" s="0" t="n">
        <v>2025</v>
      </c>
      <c r="B4" s="0" t="s">
        <v>21</v>
      </c>
      <c r="C4" s="0" t="n">
        <v>15</v>
      </c>
      <c r="D4" s="0" t="n">
        <v>10</v>
      </c>
      <c r="E4" s="0" t="n">
        <v>20</v>
      </c>
      <c r="F4" s="0" t="n">
        <v>4000</v>
      </c>
    </row>
    <row r="5" customFormat="false" ht="15" hidden="false" customHeight="false" outlineLevel="0" collapsed="false">
      <c r="A5" s="0" t="n">
        <v>2025</v>
      </c>
      <c r="B5" s="0" t="s">
        <v>22</v>
      </c>
      <c r="C5" s="0" t="n">
        <v>20</v>
      </c>
      <c r="D5" s="0" t="n">
        <v>15</v>
      </c>
      <c r="E5" s="0" t="n">
        <v>15</v>
      </c>
      <c r="F5" s="0" t="n">
        <v>4500</v>
      </c>
    </row>
    <row r="6" customFormat="false" ht="15" hidden="false" customHeight="false" outlineLevel="0" collapsed="false">
      <c r="A6" s="0" t="n">
        <v>2025</v>
      </c>
      <c r="B6" s="0" t="s">
        <v>23</v>
      </c>
      <c r="C6" s="0" t="n">
        <v>25</v>
      </c>
      <c r="D6" s="0" t="n">
        <v>20</v>
      </c>
      <c r="E6" s="0" t="n">
        <v>10</v>
      </c>
      <c r="F6" s="0" t="n">
        <v>5000</v>
      </c>
    </row>
    <row r="7" customFormat="false" ht="15" hidden="false" customHeight="false" outlineLevel="0" collapsed="false">
      <c r="A7" s="0" t="n">
        <v>2025</v>
      </c>
      <c r="B7" s="0" t="s">
        <v>24</v>
      </c>
      <c r="C7" s="0" t="n">
        <v>30</v>
      </c>
      <c r="D7" s="0" t="n">
        <v>25</v>
      </c>
      <c r="E7" s="0" t="n">
        <v>7</v>
      </c>
      <c r="F7" s="0" t="n">
        <v>6000</v>
      </c>
    </row>
    <row r="8" customFormat="false" ht="15" hidden="false" customHeight="false" outlineLevel="0" collapsed="false">
      <c r="A8" s="0" t="n">
        <v>2025</v>
      </c>
      <c r="B8" s="0" t="s">
        <v>25</v>
      </c>
      <c r="C8" s="0" t="n">
        <v>30</v>
      </c>
      <c r="D8" s="0" t="n">
        <v>30</v>
      </c>
      <c r="E8" s="0" t="n">
        <v>3</v>
      </c>
      <c r="F8" s="0" t="n">
        <v>7000</v>
      </c>
    </row>
    <row r="9" customFormat="false" ht="15" hidden="false" customHeight="false" outlineLevel="0" collapsed="false">
      <c r="A9" s="0" t="n">
        <v>2025</v>
      </c>
      <c r="B9" s="0" t="s">
        <v>26</v>
      </c>
      <c r="C9" s="0" t="n">
        <v>30</v>
      </c>
      <c r="D9" s="0" t="n">
        <v>35</v>
      </c>
      <c r="E9" s="0" t="n">
        <v>1</v>
      </c>
      <c r="F9" s="0" t="n">
        <v>10000</v>
      </c>
    </row>
    <row r="10" customFormat="false" ht="15" hidden="false" customHeight="false" outlineLevel="0" collapsed="false">
      <c r="A10" s="0" t="n">
        <v>2026</v>
      </c>
      <c r="B10" s="0" t="s">
        <v>19</v>
      </c>
      <c r="C10" s="0" t="n">
        <v>0</v>
      </c>
      <c r="D10" s="0" t="n">
        <v>0</v>
      </c>
      <c r="E10" s="0" t="n">
        <v>82</v>
      </c>
      <c r="F10" s="0" t="n">
        <v>0</v>
      </c>
    </row>
    <row r="11" customFormat="false" ht="15" hidden="false" customHeight="false" outlineLevel="0" collapsed="false">
      <c r="A11" s="0" t="n">
        <v>2026</v>
      </c>
      <c r="B11" s="0" t="s">
        <v>20</v>
      </c>
      <c r="C11" s="0" t="n">
        <v>5</v>
      </c>
      <c r="D11" s="0" t="n">
        <v>5</v>
      </c>
      <c r="E11" s="0" t="n">
        <v>52</v>
      </c>
      <c r="F11" s="0" t="n">
        <v>3200</v>
      </c>
    </row>
    <row r="12" customFormat="false" ht="15" hidden="false" customHeight="false" outlineLevel="0" collapsed="false">
      <c r="A12" s="0" t="n">
        <v>2026</v>
      </c>
      <c r="B12" s="0" t="s">
        <v>21</v>
      </c>
      <c r="C12" s="0" t="n">
        <v>10</v>
      </c>
      <c r="D12" s="0" t="n">
        <v>8</v>
      </c>
      <c r="E12" s="0" t="n">
        <v>21</v>
      </c>
      <c r="F12" s="0" t="n">
        <v>4200</v>
      </c>
    </row>
    <row r="13" customFormat="false" ht="15" hidden="false" customHeight="false" outlineLevel="0" collapsed="false">
      <c r="A13" s="0" t="n">
        <v>2026</v>
      </c>
      <c r="B13" s="0" t="s">
        <v>22</v>
      </c>
      <c r="C13" s="0" t="n">
        <v>15</v>
      </c>
      <c r="D13" s="0" t="n">
        <v>12</v>
      </c>
      <c r="E13" s="0" t="n">
        <v>16</v>
      </c>
      <c r="F13" s="0" t="n">
        <v>4700</v>
      </c>
    </row>
    <row r="14" customFormat="false" ht="15" hidden="false" customHeight="false" outlineLevel="0" collapsed="false">
      <c r="A14" s="0" t="n">
        <v>2026</v>
      </c>
      <c r="B14" s="0" t="s">
        <v>23</v>
      </c>
      <c r="C14" s="0" t="n">
        <v>20</v>
      </c>
      <c r="D14" s="0" t="n">
        <v>18</v>
      </c>
      <c r="E14" s="0" t="n">
        <v>11</v>
      </c>
      <c r="F14" s="0" t="n">
        <v>5300</v>
      </c>
    </row>
    <row r="15" customFormat="false" ht="15" hidden="false" customHeight="false" outlineLevel="0" collapsed="false">
      <c r="A15" s="0" t="n">
        <v>2026</v>
      </c>
      <c r="B15" s="0" t="s">
        <v>24</v>
      </c>
      <c r="C15" s="0" t="n">
        <v>25</v>
      </c>
      <c r="D15" s="0" t="n">
        <v>22</v>
      </c>
      <c r="E15" s="0" t="n">
        <v>8</v>
      </c>
      <c r="F15" s="0" t="n">
        <v>6300</v>
      </c>
    </row>
    <row r="16" customFormat="false" ht="15" hidden="false" customHeight="false" outlineLevel="0" collapsed="false">
      <c r="A16" s="0" t="n">
        <v>2026</v>
      </c>
      <c r="B16" s="0" t="s">
        <v>25</v>
      </c>
      <c r="C16" s="0" t="n">
        <v>30</v>
      </c>
      <c r="D16" s="0" t="n">
        <v>28</v>
      </c>
      <c r="E16" s="0" t="n">
        <v>4</v>
      </c>
      <c r="F16" s="0" t="n">
        <v>7400</v>
      </c>
    </row>
    <row r="17" customFormat="false" ht="15" hidden="false" customHeight="false" outlineLevel="0" collapsed="false">
      <c r="A17" s="0" t="n">
        <v>2026</v>
      </c>
      <c r="B17" s="0" t="s">
        <v>26</v>
      </c>
      <c r="C17" s="0" t="n">
        <v>35</v>
      </c>
      <c r="D17" s="0" t="n">
        <v>35</v>
      </c>
      <c r="E17" s="0" t="n">
        <v>1</v>
      </c>
      <c r="F17" s="0" t="n">
        <v>10800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7"/>
    <col collapsed="false" customWidth="true" hidden="false" outlineLevel="0" max="6" min="6" style="0" width="19"/>
  </cols>
  <sheetData>
    <row r="1" customFormat="false" ht="16.15" hidden="false" customHeight="false" outlineLevel="0" collapsed="false">
      <c r="A1" s="2" t="s">
        <v>27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" t="s">
        <v>28</v>
      </c>
    </row>
    <row r="4" customFormat="false" ht="15" hidden="false" customHeight="false" outlineLevel="0" collapsed="false">
      <c r="A4" s="4" t="s">
        <v>0</v>
      </c>
      <c r="B4" s="4" t="s">
        <v>1</v>
      </c>
      <c r="C4" s="4" t="s">
        <v>29</v>
      </c>
      <c r="D4" s="4" t="s">
        <v>30</v>
      </c>
      <c r="E4" s="4" t="s">
        <v>31</v>
      </c>
      <c r="F4" s="4" t="s">
        <v>32</v>
      </c>
    </row>
    <row r="6" customFormat="false" ht="15" hidden="false" customHeight="false" outlineLevel="0" collapsed="false">
      <c r="A6" s="0" t="n">
        <f aca="false">COUNTIF(GST_Reforms!A:A,2025)</f>
        <v>8</v>
      </c>
      <c r="B6" s="0" t="s">
        <v>33</v>
      </c>
    </row>
    <row r="7" customFormat="false" ht="15" hidden="false" customHeight="false" outlineLevel="0" collapsed="false">
      <c r="A7" s="0" t="n">
        <f aca="false">COUNTIF(GST_Reforms!A:A,2026)</f>
        <v>8</v>
      </c>
      <c r="B7" s="0" t="s">
        <v>34</v>
      </c>
    </row>
    <row r="9" customFormat="false" ht="15" hidden="false" customHeight="false" outlineLevel="0" collapsed="false">
      <c r="A9" s="3" t="s">
        <v>35</v>
      </c>
    </row>
    <row r="10" customFormat="false" ht="15" hidden="false" customHeight="false" outlineLevel="0" collapsed="false">
      <c r="A10" s="4" t="s">
        <v>0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</row>
    <row r="12" customFormat="false" ht="15" hidden="false" customHeight="false" outlineLevel="0" collapsed="false">
      <c r="A12" s="0" t="n">
        <f aca="false">COUNTIF(Tax_Reforms!A:A,2025)</f>
        <v>8</v>
      </c>
      <c r="B12" s="0" t="s">
        <v>41</v>
      </c>
    </row>
    <row r="13" customFormat="false" ht="15" hidden="false" customHeight="false" outlineLevel="0" collapsed="false">
      <c r="A13" s="0" t="n">
        <f aca="false">COUNTIF(Tax_Reforms!A:A,2026)</f>
        <v>8</v>
      </c>
      <c r="B13" s="0" t="s">
        <v>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2025-09-21T07:35:54Z</dcterms:created>
  <dc:creator>openpyxl</dc:creator>
  <dc:description/>
  <dc:language>en-US</dc:language>
  <cp:lastModifiedBy/>
  <dcterms:modified xsi:type="dcterms:W3CDTF">2026-05-24T04:59:24Z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